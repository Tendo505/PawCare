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60869bf5f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cc9a19c1eb444816"/>
    <x:sheet xmlns:r="http://schemas.openxmlformats.org/officeDocument/2006/relationships" name="Legend" sheetId="2" r:id="Rf706e7cd93f9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9">
    <x:font>
      <x:sz val="11"/>
      <x:color theme="1"/>
      <x:name val="Calibri"/>
    </x:font>
    <x:font>
      <x:b/>
      <x:sz val="13"/>
      <x:color rgb="FFFFFFFF"/>
      <x:name val="Arial"/>
    </x:font>
    <x:font>
      <x:b/>
      <x:sz val="8"/>
      <x:color rgb="FFFFFFFF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9"/>
      <x:color rgb="FF000000"/>
      <x:name val="Arial"/>
    </x:font>
    <x:font>
      <x:b/>
      <x:sz val="11"/>
      <x:color rgb="FFD85A30"/>
      <x:name val="Arial"/>
    </x:font>
    <x:font>
      <x:b/>
      <x:sz val="12"/>
      <x:name val="Arial"/>
    </x:font>
    <x:font>
      <x:sz val="10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b/>
      <x:sz val="10"/>
      <x:color rgb="FF1A1A6E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9"/>
      <x:color rgb="FF374151"/>
      <x:name val="Arial"/>
    </x:font>
    <x:font>
      <x:sz val="9"/>
      <x:color rgb="FF374151"/>
      <x:name val="Arial"/>
    </x:font>
    <x:font>
      <x:b/>
      <x:sz val="9"/>
      <x:color rgb="FF9A3412"/>
      <x:name val="Arial"/>
    </x:font>
    <x:font>
      <x:b/>
      <x:sz val="12"/>
      <x:color rgb="FFE56A36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1A1A6E"/>
      </x:patternFill>
    </x:fill>
    <x:fill>
      <x:patternFill patternType="solid">
        <x:fgColor rgb="FF404040"/>
      </x:patternFill>
    </x:fill>
    <x:fill>
      <x:patternFill patternType="solid">
        <x:fgColor rgb="FF333399"/>
      </x:patternFill>
    </x:fill>
    <x:fill>
      <x:patternFill patternType="solid">
        <x:fgColor rgb="FF2C2C8A"/>
      </x:patternFill>
    </x:fill>
    <x:fill>
      <x:patternFill patternType="solid">
        <x:fgColor rgb="FFFFFFFF"/>
      </x:patternFill>
    </x:fill>
    <x:fill>
      <x:patternFill patternType="solid">
        <x:fgColor rgb="FF7F77DD"/>
      </x:patternFill>
    </x:fill>
    <x:fill>
      <x:patternFill patternType="solid">
        <x:fgColor rgb="FFF0F0F0"/>
      </x:patternFill>
    </x:fill>
    <x:fill>
      <x:patternFill patternType="solid">
        <x:fgColor rgb="FFF5F5F5"/>
      </x:patternFill>
    </x:fill>
    <x:fill>
      <x:patternFill patternType="solid">
        <x:fgColor rgb="FFAFA9EC"/>
      </x:patternFill>
    </x:fill>
    <x:fill>
      <x:patternFill patternType="solid">
        <x:fgColor rgb="FFFFF3F0"/>
      </x:patternFill>
    </x:fill>
    <x:fill>
      <x:patternFill patternType="solid">
        <x:fgColor rgb="FF1D9E75"/>
      </x:patternFill>
    </x:fill>
    <x:fill>
      <x:patternFill patternType="solid">
        <x:fgColor rgb="FF378ADD"/>
      </x:patternFill>
    </x:fill>
    <x:fill>
      <x:patternFill patternType="solid">
        <x:fgColor rgb="FFD85A30"/>
      </x:patternFill>
    </x:fill>
    <x:fill>
      <x:patternFill patternType="solid">
        <x:fgColor rgb="FF1A1A6E"/>
      </x:patternFill>
    </x:fill>
    <x:fill>
      <x:patternFill patternType="solid">
        <x:fgColor rgb="FFE8EAFB"/>
      </x:patternFill>
    </x:fill>
    <x:fill>
      <x:patternFill patternType="solid">
        <x:fgColor rgb="FF333399"/>
      </x:patternFill>
    </x:fill>
    <x:fill>
      <x:patternFill patternType="solid">
        <x:fgColor rgb="FF404040"/>
      </x:patternFill>
    </x:fill>
    <x:fill>
      <x:patternFill patternType="solid">
        <x:fgColor rgb="FFF7F8FA"/>
      </x:patternFill>
    </x:fill>
    <x:fill>
      <x:patternFill patternType="solid">
        <x:fgColor rgb="FF2E3192"/>
      </x:patternFill>
    </x:fill>
    <x:fill>
      <x:patternFill patternType="solid">
        <x:fgColor rgb="FFFFF3E8"/>
      </x:patternFill>
    </x:fill>
    <x:fill>
      <x:patternFill patternType="solid">
        <x:fgColor rgb="FF16A34A"/>
      </x:patternFill>
    </x:fill>
    <x:fill>
      <x:patternFill patternType="solid">
        <x:fgColor rgb="FF7C83E8"/>
      </x:patternFill>
    </x:fill>
    <x:fill>
      <x:patternFill patternType="solid">
        <x:fgColor rgb="FF3A91E5"/>
      </x:patternFill>
    </x:fill>
    <x:fill>
      <x:patternFill patternType="solid">
        <x:fgColor rgb="FFE5E7EB"/>
      </x:patternFill>
    </x:fill>
  </x:fills>
  <x:borders count="6">
    <x:border/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BFC4CC"/>
      </x:left>
      <x:right style="thin">
        <x:color rgb="FFBFC4CC"/>
      </x:right>
      <x:top style="thin">
        <x:color rgb="FFBFC4CC"/>
      </x:top>
      <x:bottom style="thin">
        <x:color rgb="FFBFC4CC"/>
      </x:bottom>
    </x:border>
    <x:border>
      <x:left style="thin">
        <x:color rgb="FFD5D9E0"/>
      </x:left>
      <x:right style="thin">
        <x:color rgb="FFD5D9E0"/>
      </x:right>
      <x:top style="thin">
        <x:color rgb="FFD5D9E0"/>
      </x:top>
      <x:bottom style="thin">
        <x:color rgb="FFD5D9E0"/>
      </x:bottom>
    </x:border>
    <x:border>
      <x:left style="thin">
        <x:color rgb="FFCACDE8"/>
      </x:left>
      <x:right style="thin">
        <x:color rgb="FFCACDE8"/>
      </x:right>
      <x:top style="thin">
        <x:color rgb="FFCACDE8"/>
      </x:top>
      <x:bottom style="thin">
        <x:color rgb="FFCACDE8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8" fillId="0" borderId="0" xfId="0" applyFont="1"/>
    <x:xf numFmtId="0" fontId="2" fillId="4" borderId="1" xfId="0" applyFont="1" applyFill="1" applyBorder="1" applyAlignment="1">
      <x:alignment horizontal="center" vertical="center"/>
    </x:xf>
    <x:xf numFmtId="0" fontId="0" fillId="3" borderId="0" xfId="0" applyFill="1"/>
    <x:xf numFmtId="0" fontId="1" fillId="2" borderId="0" xfId="0" applyFont="1" applyFill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horizontal="left" vertical="center"/>
    </x:xf>
    <x:xf numFmtId="0" fontId="0" fillId="5" borderId="2" xfId="0" applyFill="1" applyBorder="1"/>
    <x:xf numFmtId="0" fontId="4" fillId="6" borderId="2" xfId="0" applyFont="1" applyFill="1" applyBorder="1" applyAlignment="1">
      <x:alignment horizontal="center" vertical="center"/>
    </x:xf>
    <x:xf numFmtId="0" fontId="5" fillId="6" borderId="2" xfId="0" applyFont="1" applyFill="1" applyBorder="1" applyAlignment="1">
      <x:alignment horizontal="left" vertical="center" wrapText="1"/>
    </x:xf>
    <x:xf numFmtId="0" fontId="6" fillId="6" borderId="2" xfId="0" applyFont="1" applyFill="1" applyBorder="1" applyAlignment="1">
      <x:alignment horizontal="left" vertical="center"/>
    </x:xf>
    <x:xf numFmtId="0" fontId="5" fillId="6" borderId="2" xfId="0" applyFont="1" applyFill="1" applyBorder="1" applyAlignment="1">
      <x:alignment horizontal="center" vertical="center"/>
    </x:xf>
    <x:xf numFmtId="0" fontId="0" fillId="7" borderId="2" xfId="0" applyFill="1" applyBorder="1"/>
    <x:xf numFmtId="0" fontId="0" fillId="8" borderId="2" xfId="0" applyFill="1" applyBorder="1"/>
    <x:xf numFmtId="0" fontId="4" fillId="9" borderId="2" xfId="0" applyFont="1" applyFill="1" applyBorder="1" applyAlignment="1">
      <x:alignment horizontal="center" vertical="center"/>
    </x:xf>
    <x:xf numFmtId="0" fontId="5" fillId="9" borderId="2" xfId="0" applyFont="1" applyFill="1" applyBorder="1" applyAlignment="1">
      <x:alignment horizontal="left" vertical="center" wrapText="1"/>
    </x:xf>
    <x:xf numFmtId="0" fontId="6" fillId="9" borderId="2" xfId="0" applyFont="1" applyFill="1" applyBorder="1" applyAlignment="1">
      <x:alignment horizontal="left" vertical="center"/>
    </x:xf>
    <x:xf numFmtId="0" fontId="5" fillId="9" borderId="2" xfId="0" applyFont="1" applyFill="1" applyBorder="1" applyAlignment="1">
      <x:alignment horizontal="center" vertical="center"/>
    </x:xf>
    <x:xf numFmtId="0" fontId="0" fillId="10" borderId="2" xfId="0" applyFill="1" applyBorder="1"/>
    <x:xf numFmtId="0" fontId="7" fillId="11" borderId="2" xfId="0" applyFont="1" applyFill="1" applyBorder="1" applyAlignment="1">
      <x:alignment horizontal="center" vertical="center"/>
    </x:xf>
    <x:xf numFmtId="0" fontId="0" fillId="12" borderId="2" xfId="0" applyFill="1" applyBorder="1"/>
    <x:xf numFmtId="0" fontId="0" fillId="13" borderId="2" xfId="0" applyFill="1" applyBorder="1"/>
    <x:xf numFmtId="0" fontId="9" fillId="0" borderId="0" xfId="0" applyFont="1"/>
    <x:xf numFmtId="0" fontId="0" fillId="14" borderId="2" xfId="0" applyFill="1" applyBorder="1"/>
    <x:xf numFmtId="0" fontId="10" fillId="0" borderId="0" xfId="0" applyNumberFormat="1" applyFont="1" applyFill="1" applyBorder="1"/>
    <x:xf numFmtId="0" fontId="1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11" fillId="15" borderId="0" xfId="0" applyNumberFormat="1" applyFont="1" applyFill="1" applyBorder="1" applyAlignment="1">
      <x:alignment horizontal="center" vertical="center"/>
    </x:xf>
    <x:xf numFmtId="0" fontId="1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horizontal="left"/>
    </x:xf>
    <x:xf numFmtId="0" fontId="12" fillId="16" borderId="0" xfId="0" applyNumberFormat="1" applyFont="1" applyFill="1" applyBorder="1" applyAlignment="1">
      <x:alignment horizontal="left" vertical="center"/>
    </x:xf>
    <x:xf numFmtId="0" fontId="1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1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3" xfId="0" applyNumberFormat="1" applyFont="1" applyFill="1" applyBorder="1"/>
    <x:xf numFmtId="0" fontId="13" fillId="18" borderId="3" xfId="0" applyNumberFormat="1" applyFont="1" applyFill="1" applyBorder="1" applyAlignment="1">
      <x:alignment wrapText="1"/>
    </x:xf>
    <x:xf numFmtId="0" fontId="13" fillId="18" borderId="3" xfId="0" applyNumberFormat="1" applyFont="1" applyFill="1" applyBorder="1" applyAlignment="1">
      <x:alignment horizontal="center" wrapText="1"/>
    </x:xf>
    <x:xf numFmtId="0" fontId="13" fillId="18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/>
    <x:xf numFmtId="0" fontId="10" fillId="0" borderId="4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horizontal="center" vertical="center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horizontal="left" vertical="center" wrapText="1"/>
    </x:xf>
    <x:xf numFmtId="0" fontId="15" fillId="0" borderId="4" xfId="0" applyNumberFormat="1" applyFont="1" applyFill="1" applyBorder="1" applyAlignment="1">
      <x:alignment vertical="center"/>
    </x:xf>
    <x:xf numFmtId="0" fontId="15" fillId="0" borderId="4" xfId="0" applyNumberFormat="1" applyFont="1" applyFill="1" applyBorder="1" applyAlignment="1">
      <x:alignment vertical="center" wrapText="1"/>
    </x:xf>
    <x:xf numFmtId="0" fontId="15" fillId="0" borderId="4" xfId="0" applyNumberFormat="1" applyFont="1" applyFill="1" applyBorder="1" applyAlignment="1">
      <x:alignment horizontal="center" vertical="center" wrapText="1"/>
    </x:xf>
    <x:xf numFmtId="0" fontId="16" fillId="0" borderId="4" xfId="0" applyNumberFormat="1" applyFont="1" applyFill="1" applyBorder="1" applyAlignment="1">
      <x:alignment vertical="center"/>
    </x:xf>
    <x:xf numFmtId="200" fontId="16" fillId="0" borderId="4" xfId="0" applyNumberFormat="1" applyFont="1" applyFill="1" applyBorder="1" applyAlignment="1">
      <x:alignment vertical="center"/>
    </x:xf>
    <x:xf numFmtId="200" fontId="16" fillId="0" borderId="4" xfId="0" applyNumberFormat="1" applyFont="1" applyFill="1" applyBorder="1" applyAlignment="1">
      <x:alignment horizontal="center" vertical="center"/>
    </x:xf>
    <x:xf numFmtId="0" fontId="10" fillId="19" borderId="4" xfId="0" applyNumberFormat="1" applyFont="1" applyFill="1" applyBorder="1"/>
    <x:xf numFmtId="0" fontId="13" fillId="19" borderId="4" xfId="0" applyNumberFormat="1" applyFont="1" applyFill="1" applyBorder="1"/>
    <x:xf numFmtId="0" fontId="13" fillId="19" borderId="4" xfId="0" applyNumberFormat="1" applyFont="1" applyFill="1" applyBorder="1" applyAlignment="1">
      <x:alignment horizontal="center"/>
    </x:xf>
    <x:xf numFmtId="0" fontId="13" fillId="19" borderId="4" xfId="0" applyNumberFormat="1" applyFont="1" applyFill="1" applyBorder="1" applyAlignment="1">
      <x:alignment horizontal="center" vertical="center"/>
    </x:xf>
    <x:xf numFmtId="0" fontId="14" fillId="20" borderId="4" xfId="0" applyNumberFormat="1" applyFont="1" applyFill="1" applyBorder="1" applyAlignment="1">
      <x:alignment horizontal="center" vertical="center"/>
    </x:xf>
    <x:xf numFmtId="0" fontId="10" fillId="20" borderId="4" xfId="0" applyNumberFormat="1" applyFont="1" applyFill="1" applyBorder="1" applyAlignment="1">
      <x:alignment horizontal="left" vertical="center" wrapText="1"/>
    </x:xf>
    <x:xf numFmtId="0" fontId="15" fillId="20" borderId="4" xfId="0" applyNumberFormat="1" applyFont="1" applyFill="1" applyBorder="1" applyAlignment="1">
      <x:alignment horizontal="center" vertical="center" wrapText="1"/>
    </x:xf>
    <x:xf numFmtId="200" fontId="16" fillId="20" borderId="4" xfId="0" applyNumberFormat="1" applyFont="1" applyFill="1" applyBorder="1" applyAlignment="1">
      <x:alignment horizontal="center" vertical="center"/>
    </x:xf>
    <x:xf numFmtId="0" fontId="13" fillId="20" borderId="4" xfId="0" applyNumberFormat="1" applyFont="1" applyFill="1" applyBorder="1" applyAlignment="1">
      <x:alignment horizontal="center" vertical="center"/>
    </x:xf>
    <x:xf numFmtId="0" fontId="3" fillId="20" borderId="4" xfId="0" applyNumberFormat="1" applyFont="1" applyFill="1" applyBorder="1" applyAlignment="1">
      <x:alignment horizontal="center" vertical="center"/>
    </x:xf>
    <x:xf numFmtId="0" fontId="3" fillId="20" borderId="4" xfId="0" applyNumberFormat="1" applyFont="1" applyFill="1" applyBorder="1" applyAlignment="1">
      <x:alignment horizontal="left" vertical="center" wrapText="1"/>
    </x:xf>
    <x:xf numFmtId="0" fontId="3" fillId="20" borderId="4" xfId="0" applyNumberFormat="1" applyFont="1" applyFill="1" applyBorder="1" applyAlignment="1">
      <x:alignment horizontal="center" vertical="center" wrapText="1"/>
    </x:xf>
    <x:xf numFmtId="200" fontId="3" fillId="20" borderId="4" xfId="0" applyNumberFormat="1" applyFont="1" applyFill="1" applyBorder="1" applyAlignment="1">
      <x:alignment horizontal="center" vertical="center"/>
    </x:xf>
    <x:xf numFmtId="0" fontId="3" fillId="20" borderId="5" xfId="0" applyNumberFormat="1" applyFont="1" applyFill="1" applyBorder="1" applyAlignment="1">
      <x:alignment horizontal="center" vertical="center"/>
    </x:xf>
    <x:xf numFmtId="0" fontId="3" fillId="20" borderId="5" xfId="0" applyNumberFormat="1" applyFont="1" applyFill="1" applyBorder="1" applyAlignment="1">
      <x:alignment horizontal="left" vertical="center" wrapText="1"/>
    </x:xf>
    <x:xf numFmtId="0" fontId="3" fillId="20" borderId="5" xfId="0" applyNumberFormat="1" applyFont="1" applyFill="1" applyBorder="1" applyAlignment="1">
      <x:alignment horizontal="center" vertical="center" wrapText="1"/>
    </x:xf>
    <x:xf numFmtId="200" fontId="3" fillId="20" borderId="5" xfId="0" applyNumberFormat="1" applyFont="1" applyFill="1" applyBorder="1" applyAlignment="1">
      <x:alignment horizontal="center" vertical="center"/>
    </x:xf>
    <x:xf numFmtId="0" fontId="14" fillId="21" borderId="4" xfId="0" applyNumberFormat="1" applyFont="1" applyFill="1" applyBorder="1" applyAlignment="1">
      <x:alignment horizontal="center" vertical="center"/>
    </x:xf>
    <x:xf numFmtId="0" fontId="10" fillId="21" borderId="4" xfId="0" applyNumberFormat="1" applyFont="1" applyFill="1" applyBorder="1" applyAlignment="1">
      <x:alignment horizontal="left" vertical="center" wrapText="1"/>
    </x:xf>
    <x:xf numFmtId="0" fontId="15" fillId="21" borderId="4" xfId="0" applyNumberFormat="1" applyFont="1" applyFill="1" applyBorder="1" applyAlignment="1">
      <x:alignment horizontal="center" vertical="center" wrapText="1"/>
    </x:xf>
    <x:xf numFmtId="200" fontId="16" fillId="21" borderId="4" xfId="0" applyNumberFormat="1" applyFont="1" applyFill="1" applyBorder="1" applyAlignment="1">
      <x:alignment horizontal="center" vertical="center"/>
    </x:xf>
    <x:xf numFmtId="0" fontId="17" fillId="21" borderId="4" xfId="0" applyNumberFormat="1" applyFont="1" applyFill="1" applyBorder="1" applyAlignment="1">
      <x:alignment horizontal="center" vertical="center"/>
    </x:xf>
    <x:xf numFmtId="0" fontId="17" fillId="21" borderId="4" xfId="0" applyNumberFormat="1" applyFont="1" applyFill="1" applyBorder="1" applyAlignment="1">
      <x:alignment horizontal="left" vertical="center" wrapText="1"/>
    </x:xf>
    <x:xf numFmtId="0" fontId="17" fillId="21" borderId="4" xfId="0" applyNumberFormat="1" applyFont="1" applyFill="1" applyBorder="1" applyAlignment="1">
      <x:alignment horizontal="center" vertical="center" wrapText="1"/>
    </x:xf>
    <x:xf numFmtId="200" fontId="17" fillId="21" borderId="4" xfId="0" applyNumberFormat="1" applyFont="1" applyFill="1" applyBorder="1" applyAlignment="1">
      <x:alignment horizontal="center" vertical="center"/>
    </x:xf>
    <x:xf numFmtId="0" fontId="18" fillId="19" borderId="4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0" fillId="25" borderId="0" xfId="0" applyNumberFormat="1" applyFont="1" applyFill="1" applyBorder="1"/>
    <x:xf numFmtId="0" fontId="10" fillId="22" borderId="0" xfId="0" applyNumberFormat="1" applyFont="1" applyFill="1" applyBorder="1"/>
    <x:xf numFmtId="0" fontId="10" fillId="23" borderId="0" xfId="0" applyNumberFormat="1" applyFont="1" applyFill="1" applyBorder="1"/>
    <x:xf numFmtId="0" fontId="10" fillId="24" borderId="0" xfId="0" applyNumberFormat="1" applyFont="1" applyFill="1" applyBorder="1"/>
    <x:xf numFmtId="0" fontId="14" fillId="21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/>
    <x:xf numFmtId="0" fontId="10" fillId="25" borderId="0" xfId="0" applyNumberFormat="1" applyFont="1" applyFill="1" applyBorder="1"/>
    <x:xf numFmtId="0" fontId="10" fillId="22" borderId="4" xfId="0" applyNumberFormat="1" applyFont="1" applyFill="1" applyBorder="1"/>
    <x:xf numFmtId="0" fontId="10" fillId="23" borderId="4" xfId="0" applyNumberFormat="1" applyFont="1" applyFill="1" applyBorder="1"/>
    <x:xf numFmtId="0" fontId="10" fillId="24" borderId="4" xfId="0" applyNumberFormat="1" applyFont="1" applyFill="1" applyBorder="1"/>
    <x:xf numFmtId="0" fontId="14" fillId="21" borderId="4" xfId="0" applyNumberFormat="1" applyFont="1" applyFill="1" applyBorder="1" applyAlignment="1">
      <x:alignment horizontal="center"/>
    </x:xf>
    <x:xf numFmtId="0" fontId="10" fillId="20" borderId="4" xfId="0" applyNumberFormat="1" applyFont="1" applyFill="1" applyBorder="1"/>
    <x:xf numFmtId="0" fontId="10" fillId="25" borderId="4" xfId="0" applyNumberFormat="1" applyFont="1" applyFill="1" applyBorder="1"/>
    <x:xf numFmtId="0" fontId="10" fillId="22" borderId="4" xfId="0" applyNumberFormat="1" applyFont="1" applyFill="1" applyBorder="1" applyAlignment="1">
      <x:alignment vertical="center"/>
    </x:xf>
    <x:xf numFmtId="0" fontId="10" fillId="23" borderId="4" xfId="0" applyNumberFormat="1" applyFont="1" applyFill="1" applyBorder="1" applyAlignment="1">
      <x:alignment vertical="center"/>
    </x:xf>
    <x:xf numFmtId="0" fontId="10" fillId="24" borderId="4" xfId="0" applyNumberFormat="1" applyFont="1" applyFill="1" applyBorder="1" applyAlignment="1">
      <x:alignment vertical="center"/>
    </x:xf>
    <x:xf numFmtId="0" fontId="10" fillId="20" borderId="4" xfId="0" applyNumberFormat="1" applyFont="1" applyFill="1" applyBorder="1" applyAlignment="1">
      <x:alignment vertical="center"/>
    </x:xf>
    <x:xf numFmtId="0" fontId="10" fillId="25" borderId="4" xfId="0" applyNumberFormat="1" applyFont="1" applyFill="1" applyBorder="1" applyAlignment="1">
      <x:alignment vertical="center"/>
    </x:xf>
    <x:xf numFmtId="0" fontId="18" fillId="21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color rgb="FF16A34A"/>
      </x:font>
      <x:fill>
        <x:patternFill patternType="solid">
          <x:bgColor rgb="FF16A34A"/>
        </x:patternFill>
      </x:fill>
    </x:dxf>
    <x:dxf>
      <x:font>
        <x:color rgb="FF7C83E8"/>
      </x:font>
      <x:fill>
        <x:patternFill patternType="solid">
          <x:bgColor rgb="FF7C83E8"/>
        </x:patternFill>
      </x:fill>
    </x:dxf>
    <x:dxf>
      <x:font>
        <x:color rgb="FF3A91E5"/>
      </x:font>
      <x:fill>
        <x:patternFill patternType="solid">
          <x:bgColor rgb="FF3A91E5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2C2C8A"/>
      <x:rgbColor rgb="FF808000"/>
      <x:rgbColor rgb="FF800080"/>
      <x:rgbColor rgb="FF008080"/>
      <x:rgbColor rgb="FFCCCCCC"/>
      <x:rgbColor rgb="FF808080"/>
      <x:rgbColor rgb="FFAFA9EC"/>
      <x:rgbColor rgb="FF993366"/>
      <x:rgbColor rgb="FFFFF3F0"/>
      <x:rgbColor rgb="FFF0F0F0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5F5F5"/>
      <x:rgbColor rgb="FFCCFFCC"/>
      <x:rgbColor rgb="FFFFFF99"/>
      <x:rgbColor rgb="FF99CCFF"/>
      <x:rgbColor rgb="FFFF99CC"/>
      <x:rgbColor rgb="FFCC99FF"/>
      <x:rgbColor rgb="FFFFCC99"/>
      <x:rgbColor rgb="FF378ADD"/>
      <x:rgbColor rgb="FF33CCCC"/>
      <x:rgbColor rgb="FF99CC00"/>
      <x:rgbColor rgb="FFFFCC00"/>
      <x:rgbColor rgb="FFFF9900"/>
      <x:rgbColor rgb="FFD85A30"/>
      <x:rgbColor rgb="FF7F77DD"/>
      <x:rgbColor rgb="FF969696"/>
      <x:rgbColor rgb="FF1A1A6E"/>
      <x:rgbColor rgb="FF1D9E75"/>
      <x:rgbColor rgb="FF003300"/>
      <x:rgbColor rgb="FF333300"/>
      <x:rgbColor rgb="FF993300"/>
      <x:rgbColor rgb="FF993366"/>
      <x:rgbColor rgb="FF333399"/>
      <x:rgbColor rgb="FF404040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43bbb4402444d" /><Relationship Type="http://schemas.openxmlformats.org/officeDocument/2006/relationships/theme" Target="/xl/theme/theme1.xml" Id="R43414b29613c421e" /><Relationship Type="http://schemas.openxmlformats.org/officeDocument/2006/relationships/sharedStrings" Target="/xl/sharedStrings.xml" Id="Ra029fb8b60bf4069" /><Relationship Type="http://schemas.openxmlformats.org/officeDocument/2006/relationships/worksheet" Target="/xl/worksheets/sheet1.xml" Id="Rcc9a19c1eb444816" /><Relationship Type="http://schemas.openxmlformats.org/officeDocument/2006/relationships/worksheet" Target="/xl/worksheets/sheet2.xml" Id="Rf706e7cd93f943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10" hidden="0" customWidth="1"/>
    <x:col min="2" max="2" width="39" hidden="0" customWidth="1"/>
    <x:col min="3" max="3" width="16" hidden="0" customWidth="1"/>
    <x:col min="4" max="4" width="12" hidden="0" customWidth="1"/>
    <x:col min="5" max="5" width="15" hidden="0" customWidth="1"/>
    <x:col min="6" max="47" width="2.21875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1" ht="30" customHeight="1">
      <x:c r="A1" s="30" t="str">
        <x:v>PROJECT GANTT CHART - PAWCARE MOBILE-BASED PET HEALTH MANAGEMENT SYSTEM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 s="4"/>
      <x:c r="AW1" s="4"/>
      <x:c r="AX1" s="4"/>
    </x:row>
    <x:row r="2" ht="24" customHeight="1">
      <x:c r="A2" s="34" t="str">
        <x:v>Current status: Proposal completed | Development not started</x:v>
      </x:c>
      <x:c r="B2" s="34"/>
      <x:c r="C2" s="34"/>
      <x:c r="D2" s="34"/>
      <x:c r="E2" s="34"/>
      <x:c r="F2" s="38" t="str">
        <x:v>13-WEEK PROJECT TIMELINE</x:v>
      </x:c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</x:row>
    <x:row r="3" ht="32" customHeight="1">
      <x:c r="A3" s="44" t="str">
        <x:v>Task ID</x:v>
      </x:c>
      <x:c r="B3" s="44" t="str">
        <x:v>Task / Subtask</x:v>
      </x:c>
      <x:c r="C3" s="44" t="str">
        <x:v>Status</x:v>
      </x:c>
      <x:c r="D3" s="44" t="str">
        <x:v>Start Week</x:v>
      </x:c>
      <x:c r="E3" s="44" t="str">
        <x:v>Duration (Weeks)</x:v>
      </x:c>
      <x:c r="F3" s="44" t="n">
        <x:v>1</x:v>
      </x:c>
      <x:c r="G3" s="44" t="n">
        <x:v>2</x:v>
      </x:c>
      <x:c r="H3" s="44" t="n">
        <x:v>3</x:v>
      </x:c>
      <x:c r="I3" s="44" t="n">
        <x:v>4</x:v>
      </x:c>
      <x:c r="J3" s="44" t="n">
        <x:v>5</x:v>
      </x:c>
      <x:c r="K3" s="44" t="n">
        <x:v>6</x:v>
      </x:c>
      <x:c r="L3" s="44" t="n">
        <x:v>7</x:v>
      </x:c>
      <x:c r="M3" s="44" t="n">
        <x:v>8</x:v>
      </x:c>
      <x:c r="N3" s="44" t="n">
        <x:v>9</x:v>
      </x:c>
      <x:c r="O3" s="44" t="n">
        <x:v>10</x:v>
      </x:c>
      <x:c r="P3" s="44" t="n">
        <x:v>11</x:v>
      </x:c>
      <x:c r="Q3" s="44" t="n">
        <x:v>12</x:v>
      </x:c>
      <x:c r="R3" s="44" t="n">
        <x:v>13</x:v>
      </x:c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</x:row>
    <x:row r="4" ht="24" customHeight="1">
      <x:c r="A4" s="70" t="str">
        <x:v>A</x:v>
      </x:c>
      <x:c r="B4" s="71" t="str">
        <x:v>PROPOSAL PREPARATION</x:v>
      </x:c>
      <x:c r="C4" s="72" t="str"/>
      <x:c r="D4" s="73" t="str"/>
      <x:c r="E4" s="73" t="str"/>
      <x:c r="F4" s="70"/>
      <x:c r="G4" s="70"/>
      <x:c r="H4" s="70"/>
      <x:c r="I4" s="70"/>
      <x:c r="J4" s="70"/>
      <x:c r="K4" s="70"/>
      <x:c r="L4" s="70"/>
      <x:c r="M4" s="70"/>
      <x:c r="N4" s="70"/>
      <x:c r="O4" s="70"/>
      <x:c r="P4" s="70"/>
      <x:c r="Q4" s="70"/>
      <x:c r="R4" s="70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</x:row>
    <x:row r="5" ht="22" customHeight="1">
      <x:c r="A5" s="48" t="str">
        <x:v>A1</x:v>
      </x:c>
      <x:c r="B5" s="50" t="str">
        <x:v>Research and problem definition</x:v>
      </x:c>
      <x:c r="C5" s="53" t="str">
        <x:v>Completed</x:v>
      </x:c>
      <x:c r="D5" s="56" t="n">
        <x:v>1</x:v>
      </x:c>
      <x:c r="E5" s="56" t="n">
        <x:v>1</x:v>
      </x:c>
      <x:c r="F5" s="60" t="str">
        <x:f>IF(AND(F$3&gt;=$D5,F$3&lt;$D5+$E5),"X","")</x:f>
        <x:v>X</x:v>
      </x:c>
      <x:c r="G5" s="60" t="str">
        <x:f>IF(AND(G$3&gt;=$D5,G$3&lt;$D5+$E5),"X","")</x:f>
      </x:c>
      <x:c r="H5" s="60" t="str">
        <x:f>IF(AND(H$3&gt;=$D5,H$3&lt;$D5+$E5),"X","")</x:f>
      </x:c>
      <x:c r="I5" s="60" t="str">
        <x:f>IF(AND(I$3&gt;=$D5,I$3&lt;$D5+$E5),"X","")</x:f>
      </x:c>
      <x:c r="J5" s="60" t="str">
        <x:f>IF(AND(J$3&gt;=$D5,J$3&lt;$D5+$E5),"X","")</x:f>
      </x:c>
      <x:c r="K5" s="60" t="str">
        <x:f>IF(AND(K$3&gt;=$D5,K$3&lt;$D5+$E5),"X","")</x:f>
      </x:c>
      <x:c r="L5" s="60" t="str">
        <x:f>IF(AND(L$3&gt;=$D5,L$3&lt;$D5+$E5),"X","")</x:f>
      </x:c>
      <x:c r="M5" s="60" t="str">
        <x:f>IF(AND(M$3&gt;=$D5,M$3&lt;$D5+$E5),"X","")</x:f>
      </x:c>
      <x:c r="N5" s="60" t="str">
        <x:f>IF(AND(N$3&gt;=$D5,N$3&lt;$D5+$E5),"X","")</x:f>
      </x:c>
      <x:c r="O5" s="60" t="str">
        <x:f>IF(AND(O$3&gt;=$D5,O$3&lt;$D5+$E5),"X","")</x:f>
      </x:c>
      <x:c r="P5" s="60" t="str">
        <x:f>IF(AND(P$3&gt;=$D5,P$3&lt;$D5+$E5),"X","")</x:f>
      </x:c>
      <x:c r="Q5" s="60" t="str">
        <x:f>IF(AND(Q$3&gt;=$D5,Q$3&lt;$D5+$E5),"X","")</x:f>
      </x:c>
      <x:c r="R5" s="60" t="str">
        <x:f>IF(AND(R$3&gt;=$D5,R$3&lt;$D5+$E5),"X","")</x:f>
      </x:c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</x:row>
    <x:row r="6" ht="22" customHeight="1">
      <x:c r="A6" s="48" t="str">
        <x:v>A2</x:v>
      </x:c>
      <x:c r="B6" s="50" t="str">
        <x:v>Project objectives and scope</x:v>
      </x:c>
      <x:c r="C6" s="53" t="str">
        <x:v>Completed</x:v>
      </x:c>
      <x:c r="D6" s="56" t="n">
        <x:v>1</x:v>
      </x:c>
      <x:c r="E6" s="56" t="n">
        <x:v>2</x:v>
      </x:c>
      <x:c r="F6" s="60" t="str">
        <x:f>IF(AND(F$3&gt;=$D6,F$3&lt;$D6+$E6),"X","")</x:f>
        <x:v>X</x:v>
      </x:c>
      <x:c r="G6" s="60" t="str">
        <x:f>IF(AND(G$3&gt;=$D6,G$3&lt;$D6+$E6),"X","")</x:f>
        <x:v>X</x:v>
      </x:c>
      <x:c r="H6" s="60" t="str">
        <x:f>IF(AND(H$3&gt;=$D6,H$3&lt;$D6+$E6),"X","")</x:f>
      </x:c>
      <x:c r="I6" s="60" t="str">
        <x:f>IF(AND(I$3&gt;=$D6,I$3&lt;$D6+$E6),"X","")</x:f>
      </x:c>
      <x:c r="J6" s="60" t="str">
        <x:f>IF(AND(J$3&gt;=$D6,J$3&lt;$D6+$E6),"X","")</x:f>
      </x:c>
      <x:c r="K6" s="60" t="str">
        <x:f>IF(AND(K$3&gt;=$D6,K$3&lt;$D6+$E6),"X","")</x:f>
      </x:c>
      <x:c r="L6" s="60" t="str">
        <x:f>IF(AND(L$3&gt;=$D6,L$3&lt;$D6+$E6),"X","")</x:f>
      </x:c>
      <x:c r="M6" s="60" t="str">
        <x:f>IF(AND(M$3&gt;=$D6,M$3&lt;$D6+$E6),"X","")</x:f>
      </x:c>
      <x:c r="N6" s="60" t="str">
        <x:f>IF(AND(N$3&gt;=$D6,N$3&lt;$D6+$E6),"X","")</x:f>
      </x:c>
      <x:c r="O6" s="60" t="str">
        <x:f>IF(AND(O$3&gt;=$D6,O$3&lt;$D6+$E6),"X","")</x:f>
      </x:c>
      <x:c r="P6" s="60" t="str">
        <x:f>IF(AND(P$3&gt;=$D6,P$3&lt;$D6+$E6),"X","")</x:f>
      </x:c>
      <x:c r="Q6" s="60" t="str">
        <x:f>IF(AND(Q$3&gt;=$D6,Q$3&lt;$D6+$E6),"X","")</x:f>
      </x:c>
      <x:c r="R6" s="60" t="str">
        <x:f>IF(AND(R$3&gt;=$D6,R$3&lt;$D6+$E6),"X","")</x:f>
      </x:c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</x:row>
    <x:row r="7" ht="22" customHeight="1">
      <x:c r="A7" s="48" t="str">
        <x:v>A3</x:v>
      </x:c>
      <x:c r="B7" s="50" t="str">
        <x:v>Literature review and methodology</x:v>
      </x:c>
      <x:c r="C7" s="53" t="str">
        <x:v>Completed</x:v>
      </x:c>
      <x:c r="D7" s="56" t="n">
        <x:v>2</x:v>
      </x:c>
      <x:c r="E7" s="56" t="n">
        <x:v>2</x:v>
      </x:c>
      <x:c r="F7" s="60" t="str">
        <x:f>IF(AND(F$3&gt;=$D7,F$3&lt;$D7+$E7),"X","")</x:f>
      </x:c>
      <x:c r="G7" s="60" t="str">
        <x:f>IF(AND(G$3&gt;=$D7,G$3&lt;$D7+$E7),"X","")</x:f>
        <x:v>X</x:v>
      </x:c>
      <x:c r="H7" s="60" t="str">
        <x:f>IF(AND(H$3&gt;=$D7,H$3&lt;$D7+$E7),"X","")</x:f>
        <x:v>X</x:v>
      </x:c>
      <x:c r="I7" s="60" t="str">
        <x:f>IF(AND(I$3&gt;=$D7,I$3&lt;$D7+$E7),"X","")</x:f>
      </x:c>
      <x:c r="J7" s="60" t="str">
        <x:f>IF(AND(J$3&gt;=$D7,J$3&lt;$D7+$E7),"X","")</x:f>
      </x:c>
      <x:c r="K7" s="60" t="str">
        <x:f>IF(AND(K$3&gt;=$D7,K$3&lt;$D7+$E7),"X","")</x:f>
      </x:c>
      <x:c r="L7" s="60" t="str">
        <x:f>IF(AND(L$3&gt;=$D7,L$3&lt;$D7+$E7),"X","")</x:f>
      </x:c>
      <x:c r="M7" s="60" t="str">
        <x:f>IF(AND(M$3&gt;=$D7,M$3&lt;$D7+$E7),"X","")</x:f>
      </x:c>
      <x:c r="N7" s="60" t="str">
        <x:f>IF(AND(N$3&gt;=$D7,N$3&lt;$D7+$E7),"X","")</x:f>
      </x:c>
      <x:c r="O7" s="60" t="str">
        <x:f>IF(AND(O$3&gt;=$D7,O$3&lt;$D7+$E7),"X","")</x:f>
      </x:c>
      <x:c r="P7" s="60" t="str">
        <x:f>IF(AND(P$3&gt;=$D7,P$3&lt;$D7+$E7),"X","")</x:f>
      </x:c>
      <x:c r="Q7" s="60" t="str">
        <x:f>IF(AND(Q$3&gt;=$D7,Q$3&lt;$D7+$E7),"X","")</x:f>
      </x:c>
      <x:c r="R7" s="60" t="str">
        <x:f>IF(AND(R$3&gt;=$D7,R$3&lt;$D7+$E7),"X","")</x:f>
      </x:c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</x:row>
    <x:row r="8" ht="22" customHeight="1">
      <x:c r="A8" s="48" t="str">
        <x:v>A4</x:v>
      </x:c>
      <x:c r="B8" s="50" t="str">
        <x:v>Proposal editing and formatting</x:v>
      </x:c>
      <x:c r="C8" s="53" t="str">
        <x:v>Completed</x:v>
      </x:c>
      <x:c r="D8" s="56" t="n">
        <x:v>3</x:v>
      </x:c>
      <x:c r="E8" s="56" t="n">
        <x:v>1</x:v>
      </x:c>
      <x:c r="F8" s="60" t="str">
        <x:f>IF(AND(F$3&gt;=$D8,F$3&lt;$D8+$E8),"X","")</x:f>
      </x:c>
      <x:c r="G8" s="60" t="str">
        <x:f>IF(AND(G$3&gt;=$D8,G$3&lt;$D8+$E8),"X","")</x:f>
      </x:c>
      <x:c r="H8" s="60" t="str">
        <x:f>IF(AND(H$3&gt;=$D8,H$3&lt;$D8+$E8),"X","")</x:f>
        <x:v>X</x:v>
      </x:c>
      <x:c r="I8" s="60" t="str">
        <x:f>IF(AND(I$3&gt;=$D8,I$3&lt;$D8+$E8),"X","")</x:f>
      </x:c>
      <x:c r="J8" s="60" t="str">
        <x:f>IF(AND(J$3&gt;=$D8,J$3&lt;$D8+$E8),"X","")</x:f>
      </x:c>
      <x:c r="K8" s="60" t="str">
        <x:f>IF(AND(K$3&gt;=$D8,K$3&lt;$D8+$E8),"X","")</x:f>
      </x:c>
      <x:c r="L8" s="60" t="str">
        <x:f>IF(AND(L$3&gt;=$D8,L$3&lt;$D8+$E8),"X","")</x:f>
      </x:c>
      <x:c r="M8" s="60" t="str">
        <x:f>IF(AND(M$3&gt;=$D8,M$3&lt;$D8+$E8),"X","")</x:f>
      </x:c>
      <x:c r="N8" s="60" t="str">
        <x:f>IF(AND(N$3&gt;=$D8,N$3&lt;$D8+$E8),"X","")</x:f>
      </x:c>
      <x:c r="O8" s="60" t="str">
        <x:f>IF(AND(O$3&gt;=$D8,O$3&lt;$D8+$E8),"X","")</x:f>
      </x:c>
      <x:c r="P8" s="60" t="str">
        <x:f>IF(AND(P$3&gt;=$D8,P$3&lt;$D8+$E8),"X","")</x:f>
      </x:c>
      <x:c r="Q8" s="60" t="str">
        <x:f>IF(AND(Q$3&gt;=$D8,Q$3&lt;$D8+$E8),"X","")</x:f>
      </x:c>
      <x:c r="R8" s="60" t="str">
        <x:f>IF(AND(R$3&gt;=$D8,R$3&lt;$D8+$E8),"X","")</x:f>
      </x:c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</x:row>
    <x:row r="9" ht="22" customHeight="1">
      <x:c r="A9" s="78" t="str">
        <x:v>A0</x:v>
      </x:c>
      <x:c r="B9" s="79" t="str">
        <x:v>Proposal completed milestone</x:v>
      </x:c>
      <x:c r="C9" s="80" t="str">
        <x:v>Completed</x:v>
      </x:c>
      <x:c r="D9" s="81" t="n">
        <x:v>3</x:v>
      </x:c>
      <x:c r="E9" s="81" t="n">
        <x:v>0</x:v>
      </x:c>
      <x:c r="F9" s="82" t="str">
        <x:f>IF(F$3=$D9,"◆","")</x:f>
      </x:c>
      <x:c r="G9" s="82" t="str">
        <x:f>IF(G$3=$D9,"◆","")</x:f>
      </x:c>
      <x:c r="H9" s="82" t="str">
        <x:f>IF(H$3=$D9,"◆","")</x:f>
        <x:v>◆</x:v>
      </x:c>
      <x:c r="I9" s="82" t="str">
        <x:f>IF(I$3=$D9,"◆","")</x:f>
      </x:c>
      <x:c r="J9" s="82" t="str">
        <x:f>IF(J$3=$D9,"◆","")</x:f>
      </x:c>
      <x:c r="K9" s="82" t="str">
        <x:f>IF(K$3=$D9,"◆","")</x:f>
      </x:c>
      <x:c r="L9" s="82" t="str">
        <x:f>IF(L$3=$D9,"◆","")</x:f>
      </x:c>
      <x:c r="M9" s="82" t="str">
        <x:f>IF(M$3=$D9,"◆","")</x:f>
      </x:c>
      <x:c r="N9" s="82" t="str">
        <x:f>IF(N$3=$D9,"◆","")</x:f>
      </x:c>
      <x:c r="O9" s="82" t="str">
        <x:f>IF(O$3=$D9,"◆","")</x:f>
      </x:c>
      <x:c r="P9" s="82" t="str">
        <x:f>IF(P$3=$D9,"◆","")</x:f>
      </x:c>
      <x:c r="Q9" s="82" t="str">
        <x:f>IF(Q$3=$D9,"◆","")</x:f>
      </x:c>
      <x:c r="R9" s="82" t="str">
        <x:f>IF(R$3=$D9,"◆","")</x:f>
      </x:c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</x:row>
    <x:row r="10" ht="24" customHeight="1">
      <x:c r="A10" s="70" t="str">
        <x:v>B</x:v>
      </x:c>
      <x:c r="B10" s="71" t="str">
        <x:v>SYSTEM DESIGN &amp; DEVELOPMENT</x:v>
      </x:c>
      <x:c r="C10" s="72" t="str"/>
      <x:c r="D10" s="73" t="str"/>
      <x:c r="E10" s="73" t="str"/>
      <x:c r="F10" s="70"/>
      <x:c r="G10" s="70"/>
      <x:c r="H10" s="70"/>
      <x:c r="I10" s="70"/>
      <x:c r="J10" s="70"/>
      <x:c r="K10" s="70"/>
      <x:c r="L10" s="70"/>
      <x:c r="M10" s="70"/>
      <x:c r="N10" s="70"/>
      <x:c r="O10" s="70"/>
      <x:c r="P10" s="70"/>
      <x:c r="Q10" s="70"/>
      <x:c r="R10" s="7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</x:row>
    <x:row r="11" ht="22" customHeight="1">
      <x:c r="A11" s="48" t="str">
        <x:v>B1</x:v>
      </x:c>
      <x:c r="B11" s="50" t="str">
        <x:v>System requirements, diagrams and wireframes</x:v>
      </x:c>
      <x:c r="C11" s="53" t="str">
        <x:v>Not Started</x:v>
      </x:c>
      <x:c r="D11" s="56" t="n">
        <x:v>4</x:v>
      </x:c>
      <x:c r="E11" s="56" t="n">
        <x:v>1</x:v>
      </x:c>
      <x:c r="F11" s="60" t="str">
        <x:f>IF(AND(F$3&gt;=$D11,F$3&lt;$D11+$E11),"X","")</x:f>
      </x:c>
      <x:c r="G11" s="60" t="str">
        <x:f>IF(AND(G$3&gt;=$D11,G$3&lt;$D11+$E11),"X","")</x:f>
      </x:c>
      <x:c r="H11" s="60" t="str">
        <x:f>IF(AND(H$3&gt;=$D11,H$3&lt;$D11+$E11),"X","")</x:f>
      </x:c>
      <x:c r="I11" s="60" t="str">
        <x:f>IF(AND(I$3&gt;=$D11,I$3&lt;$D11+$E11),"X","")</x:f>
        <x:v>X</x:v>
      </x:c>
      <x:c r="J11" s="60" t="str">
        <x:f>IF(AND(J$3&gt;=$D11,J$3&lt;$D11+$E11),"X","")</x:f>
      </x:c>
      <x:c r="K11" s="60" t="str">
        <x:f>IF(AND(K$3&gt;=$D11,K$3&lt;$D11+$E11),"X","")</x:f>
      </x:c>
      <x:c r="L11" s="60" t="str">
        <x:f>IF(AND(L$3&gt;=$D11,L$3&lt;$D11+$E11),"X","")</x:f>
      </x:c>
      <x:c r="M11" s="60" t="str">
        <x:f>IF(AND(M$3&gt;=$D11,M$3&lt;$D11+$E11),"X","")</x:f>
      </x:c>
      <x:c r="N11" s="60" t="str">
        <x:f>IF(AND(N$3&gt;=$D11,N$3&lt;$D11+$E11),"X","")</x:f>
      </x:c>
      <x:c r="O11" s="60" t="str">
        <x:f>IF(AND(O$3&gt;=$D11,O$3&lt;$D11+$E11),"X","")</x:f>
      </x:c>
      <x:c r="P11" s="60" t="str">
        <x:f>IF(AND(P$3&gt;=$D11,P$3&lt;$D11+$E11),"X","")</x:f>
      </x:c>
      <x:c r="Q11" s="60" t="str">
        <x:f>IF(AND(Q$3&gt;=$D11,Q$3&lt;$D11+$E11),"X","")</x:f>
      </x:c>
      <x:c r="R11" s="60" t="str">
        <x:f>IF(AND(R$3&gt;=$D11,R$3&lt;$D11+$E11),"X","")</x:f>
      </x:c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</x:row>
    <x:row r="12" ht="22" customHeight="1">
      <x:c r="A12" s="48" t="str">
        <x:v>B2</x:v>
      </x:c>
      <x:c r="B12" s="50" t="str">
        <x:v>Development environment and project setup</x:v>
      </x:c>
      <x:c r="C12" s="53" t="str">
        <x:v>Not Started</x:v>
      </x:c>
      <x:c r="D12" s="56" t="n">
        <x:v>4</x:v>
      </x:c>
      <x:c r="E12" s="56" t="n">
        <x:v>1</x:v>
      </x:c>
      <x:c r="F12" s="60" t="str">
        <x:f>IF(AND(F$3&gt;=$D12,F$3&lt;$D12+$E12),"X","")</x:f>
      </x:c>
      <x:c r="G12" s="60" t="str">
        <x:f>IF(AND(G$3&gt;=$D12,G$3&lt;$D12+$E12),"X","")</x:f>
      </x:c>
      <x:c r="H12" s="60" t="str">
        <x:f>IF(AND(H$3&gt;=$D12,H$3&lt;$D12+$E12),"X","")</x:f>
      </x:c>
      <x:c r="I12" s="60" t="str">
        <x:f>IF(AND(I$3&gt;=$D12,I$3&lt;$D12+$E12),"X","")</x:f>
        <x:v>X</x:v>
      </x:c>
      <x:c r="J12" s="60" t="str">
        <x:f>IF(AND(J$3&gt;=$D12,J$3&lt;$D12+$E12),"X","")</x:f>
      </x:c>
      <x:c r="K12" s="60" t="str">
        <x:f>IF(AND(K$3&gt;=$D12,K$3&lt;$D12+$E12),"X","")</x:f>
      </x:c>
      <x:c r="L12" s="60" t="str">
        <x:f>IF(AND(L$3&gt;=$D12,L$3&lt;$D12+$E12),"X","")</x:f>
      </x:c>
      <x:c r="M12" s="60" t="str">
        <x:f>IF(AND(M$3&gt;=$D12,M$3&lt;$D12+$E12),"X","")</x:f>
      </x:c>
      <x:c r="N12" s="60" t="str">
        <x:f>IF(AND(N$3&gt;=$D12,N$3&lt;$D12+$E12),"X","")</x:f>
      </x:c>
      <x:c r="O12" s="60" t="str">
        <x:f>IF(AND(O$3&gt;=$D12,O$3&lt;$D12+$E12),"X","")</x:f>
      </x:c>
      <x:c r="P12" s="60" t="str">
        <x:f>IF(AND(P$3&gt;=$D12,P$3&lt;$D12+$E12),"X","")</x:f>
      </x:c>
      <x:c r="Q12" s="60" t="str">
        <x:f>IF(AND(Q$3&gt;=$D12,Q$3&lt;$D12+$E12),"X","")</x:f>
      </x:c>
      <x:c r="R12" s="60" t="str">
        <x:f>IF(AND(R$3&gt;=$D12,R$3&lt;$D12+$E12),"X","")</x:f>
      </x:c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</x:row>
    <x:row r="13" ht="22" customHeight="1">
      <x:c r="A13" s="48" t="str">
        <x:v>B3</x:v>
      </x:c>
      <x:c r="B13" s="50" t="str">
        <x:v>Laravel authentication and pet-profile API</x:v>
      </x:c>
      <x:c r="C13" s="53" t="str">
        <x:v>Not Started</x:v>
      </x:c>
      <x:c r="D13" s="56" t="n">
        <x:v>5</x:v>
      </x:c>
      <x:c r="E13" s="56" t="n">
        <x:v>1</x:v>
      </x:c>
      <x:c r="F13" s="60" t="str">
        <x:f>IF(AND(F$3&gt;=$D13,F$3&lt;$D13+$E13),"X","")</x:f>
      </x:c>
      <x:c r="G13" s="60" t="str">
        <x:f>IF(AND(G$3&gt;=$D13,G$3&lt;$D13+$E13),"X","")</x:f>
      </x:c>
      <x:c r="H13" s="60" t="str">
        <x:f>IF(AND(H$3&gt;=$D13,H$3&lt;$D13+$E13),"X","")</x:f>
      </x:c>
      <x:c r="I13" s="60" t="str">
        <x:f>IF(AND(I$3&gt;=$D13,I$3&lt;$D13+$E13),"X","")</x:f>
      </x:c>
      <x:c r="J13" s="60" t="str">
        <x:f>IF(AND(J$3&gt;=$D13,J$3&lt;$D13+$E13),"X","")</x:f>
        <x:v>X</x:v>
      </x:c>
      <x:c r="K13" s="60" t="str">
        <x:f>IF(AND(K$3&gt;=$D13,K$3&lt;$D13+$E13),"X","")</x:f>
      </x:c>
      <x:c r="L13" s="60" t="str">
        <x:f>IF(AND(L$3&gt;=$D13,L$3&lt;$D13+$E13),"X","")</x:f>
      </x:c>
      <x:c r="M13" s="60" t="str">
        <x:f>IF(AND(M$3&gt;=$D13,M$3&lt;$D13+$E13),"X","")</x:f>
      </x:c>
      <x:c r="N13" s="60" t="str">
        <x:f>IF(AND(N$3&gt;=$D13,N$3&lt;$D13+$E13),"X","")</x:f>
      </x:c>
      <x:c r="O13" s="60" t="str">
        <x:f>IF(AND(O$3&gt;=$D13,O$3&lt;$D13+$E13),"X","")</x:f>
      </x:c>
      <x:c r="P13" s="60" t="str">
        <x:f>IF(AND(P$3&gt;=$D13,P$3&lt;$D13+$E13),"X","")</x:f>
      </x:c>
      <x:c r="Q13" s="60" t="str">
        <x:f>IF(AND(Q$3&gt;=$D13,Q$3&lt;$D13+$E13),"X","")</x:f>
      </x:c>
      <x:c r="R13" s="60" t="str">
        <x:f>IF(AND(R$3&gt;=$D13,R$3&lt;$D13+$E13),"X","")</x:f>
      </x:c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</x:row>
    <x:row r="14" ht="22" customHeight="1">
      <x:c r="A14" s="48" t="str">
        <x:v>B4</x:v>
      </x:c>
      <x:c r="B14" s="50" t="str">
        <x:v>Vaccination, health and appointment modules</x:v>
      </x:c>
      <x:c r="C14" s="53" t="str">
        <x:v>Not Started</x:v>
      </x:c>
      <x:c r="D14" s="56" t="n">
        <x:v>6</x:v>
      </x:c>
      <x:c r="E14" s="56" t="n">
        <x:v>1</x:v>
      </x:c>
      <x:c r="F14" s="60" t="str">
        <x:f>IF(AND(F$3&gt;=$D14,F$3&lt;$D14+$E14),"X","")</x:f>
      </x:c>
      <x:c r="G14" s="60" t="str">
        <x:f>IF(AND(G$3&gt;=$D14,G$3&lt;$D14+$E14),"X","")</x:f>
      </x:c>
      <x:c r="H14" s="60" t="str">
        <x:f>IF(AND(H$3&gt;=$D14,H$3&lt;$D14+$E14),"X","")</x:f>
      </x:c>
      <x:c r="I14" s="60" t="str">
        <x:f>IF(AND(I$3&gt;=$D14,I$3&lt;$D14+$E14),"X","")</x:f>
      </x:c>
      <x:c r="J14" s="60" t="str">
        <x:f>IF(AND(J$3&gt;=$D14,J$3&lt;$D14+$E14),"X","")</x:f>
      </x:c>
      <x:c r="K14" s="60" t="str">
        <x:f>IF(AND(K$3&gt;=$D14,K$3&lt;$D14+$E14),"X","")</x:f>
        <x:v>X</x:v>
      </x:c>
      <x:c r="L14" s="60" t="str">
        <x:f>IF(AND(L$3&gt;=$D14,L$3&lt;$D14+$E14),"X","")</x:f>
      </x:c>
      <x:c r="M14" s="60" t="str">
        <x:f>IF(AND(M$3&gt;=$D14,M$3&lt;$D14+$E14),"X","")</x:f>
      </x:c>
      <x:c r="N14" s="60" t="str">
        <x:f>IF(AND(N$3&gt;=$D14,N$3&lt;$D14+$E14),"X","")</x:f>
      </x:c>
      <x:c r="O14" s="60" t="str">
        <x:f>IF(AND(O$3&gt;=$D14,O$3&lt;$D14+$E14),"X","")</x:f>
      </x:c>
      <x:c r="P14" s="60" t="str">
        <x:f>IF(AND(P$3&gt;=$D14,P$3&lt;$D14+$E14),"X","")</x:f>
      </x:c>
      <x:c r="Q14" s="60" t="str">
        <x:f>IF(AND(Q$3&gt;=$D14,Q$3&lt;$D14+$E14),"X","")</x:f>
      </x:c>
      <x:c r="R14" s="60" t="str">
        <x:f>IF(AND(R$3&gt;=$D14,R$3&lt;$D14+$E14),"X","")</x:f>
      </x:c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</x:row>
    <x:row r="15" ht="22" customHeight="1">
      <x:c r="A15" s="48" t="str">
        <x:v>B5</x:v>
      </x:c>
      <x:c r="B15" s="50" t="str">
        <x:v>Android login, registration and navigation</x:v>
      </x:c>
      <x:c r="C15" s="53" t="str">
        <x:v>Not Started</x:v>
      </x:c>
      <x:c r="D15" s="56" t="n">
        <x:v>7</x:v>
      </x:c>
      <x:c r="E15" s="56" t="n">
        <x:v>1</x:v>
      </x:c>
      <x:c r="F15" s="60" t="str">
        <x:f>IF(AND(F$3&gt;=$D15,F$3&lt;$D15+$E15),"X","")</x:f>
      </x:c>
      <x:c r="G15" s="60" t="str">
        <x:f>IF(AND(G$3&gt;=$D15,G$3&lt;$D15+$E15),"X","")</x:f>
      </x:c>
      <x:c r="H15" s="60" t="str">
        <x:f>IF(AND(H$3&gt;=$D15,H$3&lt;$D15+$E15),"X","")</x:f>
      </x:c>
      <x:c r="I15" s="60" t="str">
        <x:f>IF(AND(I$3&gt;=$D15,I$3&lt;$D15+$E15),"X","")</x:f>
      </x:c>
      <x:c r="J15" s="60" t="str">
        <x:f>IF(AND(J$3&gt;=$D15,J$3&lt;$D15+$E15),"X","")</x:f>
      </x:c>
      <x:c r="K15" s="60" t="str">
        <x:f>IF(AND(K$3&gt;=$D15,K$3&lt;$D15+$E15),"X","")</x:f>
      </x:c>
      <x:c r="L15" s="60" t="str">
        <x:f>IF(AND(L$3&gt;=$D15,L$3&lt;$D15+$E15),"X","")</x:f>
        <x:v>X</x:v>
      </x:c>
      <x:c r="M15" s="60" t="str">
        <x:f>IF(AND(M$3&gt;=$D15,M$3&lt;$D15+$E15),"X","")</x:f>
      </x:c>
      <x:c r="N15" s="60" t="str">
        <x:f>IF(AND(N$3&gt;=$D15,N$3&lt;$D15+$E15),"X","")</x:f>
      </x:c>
      <x:c r="O15" s="60" t="str">
        <x:f>IF(AND(O$3&gt;=$D15,O$3&lt;$D15+$E15),"X","")</x:f>
      </x:c>
      <x:c r="P15" s="60" t="str">
        <x:f>IF(AND(P$3&gt;=$D15,P$3&lt;$D15+$E15),"X","")</x:f>
      </x:c>
      <x:c r="Q15" s="60" t="str">
        <x:f>IF(AND(Q$3&gt;=$D15,Q$3&lt;$D15+$E15),"X","")</x:f>
      </x:c>
      <x:c r="R15" s="60" t="str">
        <x:f>IF(AND(R$3&gt;=$D15,R$3&lt;$D15+$E15),"X","")</x:f>
      </x:c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</x:row>
    <x:row r="16" ht="22" customHeight="1">
      <x:c r="A16" s="48" t="str">
        <x:v>B6</x:v>
      </x:c>
      <x:c r="B16" s="50" t="str">
        <x:v>Android CRUD and API integration</x:v>
      </x:c>
      <x:c r="C16" s="53" t="str">
        <x:v>Not Started</x:v>
      </x:c>
      <x:c r="D16" s="56" t="n">
        <x:v>8</x:v>
      </x:c>
      <x:c r="E16" s="56" t="n">
        <x:v>2</x:v>
      </x:c>
      <x:c r="F16" s="60" t="str">
        <x:f>IF(AND(F$3&gt;=$D16,F$3&lt;$D16+$E16),"X","")</x:f>
      </x:c>
      <x:c r="G16" s="60" t="str">
        <x:f>IF(AND(G$3&gt;=$D16,G$3&lt;$D16+$E16),"X","")</x:f>
      </x:c>
      <x:c r="H16" s="60" t="str">
        <x:f>IF(AND(H$3&gt;=$D16,H$3&lt;$D16+$E16),"X","")</x:f>
      </x:c>
      <x:c r="I16" s="60" t="str">
        <x:f>IF(AND(I$3&gt;=$D16,I$3&lt;$D16+$E16),"X","")</x:f>
      </x:c>
      <x:c r="J16" s="60" t="str">
        <x:f>IF(AND(J$3&gt;=$D16,J$3&lt;$D16+$E16),"X","")</x:f>
      </x:c>
      <x:c r="K16" s="60" t="str">
        <x:f>IF(AND(K$3&gt;=$D16,K$3&lt;$D16+$E16),"X","")</x:f>
      </x:c>
      <x:c r="L16" s="60" t="str">
        <x:f>IF(AND(L$3&gt;=$D16,L$3&lt;$D16+$E16),"X","")</x:f>
      </x:c>
      <x:c r="M16" s="60" t="str">
        <x:f>IF(AND(M$3&gt;=$D16,M$3&lt;$D16+$E16),"X","")</x:f>
        <x:v>X</x:v>
      </x:c>
      <x:c r="N16" s="60" t="str">
        <x:f>IF(AND(N$3&gt;=$D16,N$3&lt;$D16+$E16),"X","")</x:f>
        <x:v>X</x:v>
      </x:c>
      <x:c r="O16" s="60" t="str">
        <x:f>IF(AND(O$3&gt;=$D16,O$3&lt;$D16+$E16),"X","")</x:f>
      </x:c>
      <x:c r="P16" s="60" t="str">
        <x:f>IF(AND(P$3&gt;=$D16,P$3&lt;$D16+$E16),"X","")</x:f>
      </x:c>
      <x:c r="Q16" s="60" t="str">
        <x:f>IF(AND(Q$3&gt;=$D16,Q$3&lt;$D16+$E16),"X","")</x:f>
      </x:c>
      <x:c r="R16" s="60" t="str">
        <x:f>IF(AND(R$3&gt;=$D16,R$3&lt;$D16+$E16),"X","")</x:f>
      </x:c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</x:row>
    <x:row r="17" ht="22" customHeight="1">
      <x:c r="A17" s="48" t="str">
        <x:v>B7</x:v>
      </x:c>
      <x:c r="B17" s="50" t="str">
        <x:v>Reminder, dashboard and system enhancement</x:v>
      </x:c>
      <x:c r="C17" s="53" t="str">
        <x:v>Not Started</x:v>
      </x:c>
      <x:c r="D17" s="56" t="n">
        <x:v>10</x:v>
      </x:c>
      <x:c r="E17" s="56" t="n">
        <x:v>1</x:v>
      </x:c>
      <x:c r="F17" s="60" t="str">
        <x:f>IF(AND(F$3&gt;=$D17,F$3&lt;$D17+$E17),"X","")</x:f>
      </x:c>
      <x:c r="G17" s="60" t="str">
        <x:f>IF(AND(G$3&gt;=$D17,G$3&lt;$D17+$E17),"X","")</x:f>
      </x:c>
      <x:c r="H17" s="60" t="str">
        <x:f>IF(AND(H$3&gt;=$D17,H$3&lt;$D17+$E17),"X","")</x:f>
      </x:c>
      <x:c r="I17" s="60" t="str">
        <x:f>IF(AND(I$3&gt;=$D17,I$3&lt;$D17+$E17),"X","")</x:f>
      </x:c>
      <x:c r="J17" s="60" t="str">
        <x:f>IF(AND(J$3&gt;=$D17,J$3&lt;$D17+$E17),"X","")</x:f>
      </x:c>
      <x:c r="K17" s="60" t="str">
        <x:f>IF(AND(K$3&gt;=$D17,K$3&lt;$D17+$E17),"X","")</x:f>
      </x:c>
      <x:c r="L17" s="60" t="str">
        <x:f>IF(AND(L$3&gt;=$D17,L$3&lt;$D17+$E17),"X","")</x:f>
      </x:c>
      <x:c r="M17" s="60" t="str">
        <x:f>IF(AND(M$3&gt;=$D17,M$3&lt;$D17+$E17),"X","")</x:f>
      </x:c>
      <x:c r="N17" s="60" t="str">
        <x:f>IF(AND(N$3&gt;=$D17,N$3&lt;$D17+$E17),"X","")</x:f>
      </x:c>
      <x:c r="O17" s="60" t="str">
        <x:f>IF(AND(O$3&gt;=$D17,O$3&lt;$D17+$E17),"X","")</x:f>
        <x:v>X</x:v>
      </x:c>
      <x:c r="P17" s="60" t="str">
        <x:f>IF(AND(P$3&gt;=$D17,P$3&lt;$D17+$E17),"X","")</x:f>
      </x:c>
      <x:c r="Q17" s="60" t="str">
        <x:f>IF(AND(Q$3&gt;=$D17,Q$3&lt;$D17+$E17),"X","")</x:f>
      </x:c>
      <x:c r="R17" s="60" t="str">
        <x:f>IF(AND(R$3&gt;=$D17,R$3&lt;$D17+$E17),"X","")</x:f>
      </x:c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</x:row>
    <x:row r="18" ht="22" customHeight="1">
      <x:c r="A18" s="78" t="str">
        <x:v>B0</x:v>
      </x:c>
      <x:c r="B18" s="79" t="str">
        <x:v>Development milestone</x:v>
      </x:c>
      <x:c r="C18" s="80" t="str">
        <x:v>Not Started</x:v>
      </x:c>
      <x:c r="D18" s="81" t="n">
        <x:v>10</x:v>
      </x:c>
      <x:c r="E18" s="81" t="n">
        <x:v>0</x:v>
      </x:c>
      <x:c r="F18" s="82" t="str">
        <x:f>IF(F$3=$D18,"◆","")</x:f>
      </x:c>
      <x:c r="G18" s="82" t="str">
        <x:f>IF(G$3=$D18,"◆","")</x:f>
      </x:c>
      <x:c r="H18" s="82" t="str">
        <x:f>IF(H$3=$D18,"◆","")</x:f>
      </x:c>
      <x:c r="I18" s="82" t="str">
        <x:f>IF(I$3=$D18,"◆","")</x:f>
      </x:c>
      <x:c r="J18" s="82" t="str">
        <x:f>IF(J$3=$D18,"◆","")</x:f>
      </x:c>
      <x:c r="K18" s="82" t="str">
        <x:f>IF(K$3=$D18,"◆","")</x:f>
      </x:c>
      <x:c r="L18" s="82" t="str">
        <x:f>IF(L$3=$D18,"◆","")</x:f>
      </x:c>
      <x:c r="M18" s="82" t="str">
        <x:f>IF(M$3=$D18,"◆","")</x:f>
      </x:c>
      <x:c r="N18" s="82" t="str">
        <x:f>IF(N$3=$D18,"◆","")</x:f>
      </x:c>
      <x:c r="O18" s="82" t="str">
        <x:f>IF(O$3=$D18,"◆","")</x:f>
        <x:v>◆</x:v>
      </x:c>
      <x:c r="P18" s="82" t="str">
        <x:f>IF(P$3=$D18,"◆","")</x:f>
      </x:c>
      <x:c r="Q18" s="82" t="str">
        <x:f>IF(Q$3=$D18,"◆","")</x:f>
      </x:c>
      <x:c r="R18" s="82" t="str">
        <x:f>IF(R$3=$D18,"◆","")</x:f>
      </x:c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</x:row>
    <x:row r="19" ht="24" customHeight="1">
      <x:c r="A19" s="70" t="str">
        <x:v>C</x:v>
      </x:c>
      <x:c r="B19" s="71" t="str">
        <x:v>TESTING, DOCUMENTATION &amp; FINALISATION</x:v>
      </x:c>
      <x:c r="C19" s="72" t="str"/>
      <x:c r="D19" s="73" t="str"/>
      <x:c r="E19" s="73" t="str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</x:row>
    <x:row r="20" ht="22" customHeight="1">
      <x:c r="A20" s="48" t="str">
        <x:v>C1</x:v>
      </x:c>
      <x:c r="B20" s="50" t="str">
        <x:v>System and API testing with bug fixing</x:v>
      </x:c>
      <x:c r="C20" s="53" t="str">
        <x:v>Not Started</x:v>
      </x:c>
      <x:c r="D20" s="56" t="n">
        <x:v>11</x:v>
      </x:c>
      <x:c r="E20" s="56" t="n">
        <x:v>1</x:v>
      </x:c>
      <x:c r="F20" s="60" t="str">
        <x:f>IF(AND(F$3&gt;=$D20,F$3&lt;$D20+$E20),"X","")</x:f>
      </x:c>
      <x:c r="G20" s="60" t="str">
        <x:f>IF(AND(G$3&gt;=$D20,G$3&lt;$D20+$E20),"X","")</x:f>
      </x:c>
      <x:c r="H20" s="60" t="str">
        <x:f>IF(AND(H$3&gt;=$D20,H$3&lt;$D20+$E20),"X","")</x:f>
      </x:c>
      <x:c r="I20" s="60" t="str">
        <x:f>IF(AND(I$3&gt;=$D20,I$3&lt;$D20+$E20),"X","")</x:f>
      </x:c>
      <x:c r="J20" s="60" t="str">
        <x:f>IF(AND(J$3&gt;=$D20,J$3&lt;$D20+$E20),"X","")</x:f>
      </x:c>
      <x:c r="K20" s="60" t="str">
        <x:f>IF(AND(K$3&gt;=$D20,K$3&lt;$D20+$E20),"X","")</x:f>
      </x:c>
      <x:c r="L20" s="60" t="str">
        <x:f>IF(AND(L$3&gt;=$D20,L$3&lt;$D20+$E20),"X","")</x:f>
      </x:c>
      <x:c r="M20" s="60" t="str">
        <x:f>IF(AND(M$3&gt;=$D20,M$3&lt;$D20+$E20),"X","")</x:f>
      </x:c>
      <x:c r="N20" s="60" t="str">
        <x:f>IF(AND(N$3&gt;=$D20,N$3&lt;$D20+$E20),"X","")</x:f>
      </x:c>
      <x:c r="O20" s="60" t="str">
        <x:f>IF(AND(O$3&gt;=$D20,O$3&lt;$D20+$E20),"X","")</x:f>
      </x:c>
      <x:c r="P20" s="60" t="str">
        <x:f>IF(AND(P$3&gt;=$D20,P$3&lt;$D20+$E20),"X","")</x:f>
        <x:v>X</x:v>
      </x:c>
      <x:c r="Q20" s="60" t="str">
        <x:f>IF(AND(Q$3&gt;=$D20,Q$3&lt;$D20+$E20),"X","")</x:f>
      </x:c>
      <x:c r="R20" s="60" t="str">
        <x:f>IF(AND(R$3&gt;=$D20,R$3&lt;$D20+$E20),"X","")</x:f>
      </x:c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</x:row>
    <x:row r="21" ht="22" customHeight="1">
      <x:c r="A21" s="48" t="str">
        <x:v>C2</x:v>
      </x:c>
      <x:c r="B21" s="50" t="str">
        <x:v>User acceptance testing and improvements</x:v>
      </x:c>
      <x:c r="C21" s="53" t="str">
        <x:v>Not Started</x:v>
      </x:c>
      <x:c r="D21" s="56" t="n">
        <x:v>11</x:v>
      </x:c>
      <x:c r="E21" s="56" t="n">
        <x:v>1</x:v>
      </x:c>
      <x:c r="F21" s="60" t="str">
        <x:f>IF(AND(F$3&gt;=$D21,F$3&lt;$D21+$E21),"X","")</x:f>
      </x:c>
      <x:c r="G21" s="60" t="str">
        <x:f>IF(AND(G$3&gt;=$D21,G$3&lt;$D21+$E21),"X","")</x:f>
      </x:c>
      <x:c r="H21" s="60" t="str">
        <x:f>IF(AND(H$3&gt;=$D21,H$3&lt;$D21+$E21),"X","")</x:f>
      </x:c>
      <x:c r="I21" s="60" t="str">
        <x:f>IF(AND(I$3&gt;=$D21,I$3&lt;$D21+$E21),"X","")</x:f>
      </x:c>
      <x:c r="J21" s="60" t="str">
        <x:f>IF(AND(J$3&gt;=$D21,J$3&lt;$D21+$E21),"X","")</x:f>
      </x:c>
      <x:c r="K21" s="60" t="str">
        <x:f>IF(AND(K$3&gt;=$D21,K$3&lt;$D21+$E21),"X","")</x:f>
      </x:c>
      <x:c r="L21" s="60" t="str">
        <x:f>IF(AND(L$3&gt;=$D21,L$3&lt;$D21+$E21),"X","")</x:f>
      </x:c>
      <x:c r="M21" s="60" t="str">
        <x:f>IF(AND(M$3&gt;=$D21,M$3&lt;$D21+$E21),"X","")</x:f>
      </x:c>
      <x:c r="N21" s="60" t="str">
        <x:f>IF(AND(N$3&gt;=$D21,N$3&lt;$D21+$E21),"X","")</x:f>
      </x:c>
      <x:c r="O21" s="60" t="str">
        <x:f>IF(AND(O$3&gt;=$D21,O$3&lt;$D21+$E21),"X","")</x:f>
      </x:c>
      <x:c r="P21" s="60" t="str">
        <x:f>IF(AND(P$3&gt;=$D21,P$3&lt;$D21+$E21),"X","")</x:f>
        <x:v>X</x:v>
      </x:c>
      <x:c r="Q21" s="60" t="str">
        <x:f>IF(AND(Q$3&gt;=$D21,Q$3&lt;$D21+$E21),"X","")</x:f>
      </x:c>
      <x:c r="R21" s="60" t="str">
        <x:f>IF(AND(R$3&gt;=$D21,R$3&lt;$D21+$E21),"X","")</x:f>
      </x:c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</x:row>
    <x:row r="22" ht="22" customHeight="1">
      <x:c r="A22" s="48" t="str">
        <x:v>C3</x:v>
      </x:c>
      <x:c r="B22" s="50" t="str">
        <x:v>Report writing, diagrams and screenshots</x:v>
      </x:c>
      <x:c r="C22" s="53" t="str">
        <x:v>Not Started</x:v>
      </x:c>
      <x:c r="D22" s="56" t="n">
        <x:v>12</x:v>
      </x:c>
      <x:c r="E22" s="56" t="n">
        <x:v>1</x:v>
      </x:c>
      <x:c r="F22" s="60" t="str">
        <x:f>IF(AND(F$3&gt;=$D22,F$3&lt;$D22+$E22),"X","")</x:f>
      </x:c>
      <x:c r="G22" s="60" t="str">
        <x:f>IF(AND(G$3&gt;=$D22,G$3&lt;$D22+$E22),"X","")</x:f>
      </x:c>
      <x:c r="H22" s="60" t="str">
        <x:f>IF(AND(H$3&gt;=$D22,H$3&lt;$D22+$E22),"X","")</x:f>
      </x:c>
      <x:c r="I22" s="60" t="str">
        <x:f>IF(AND(I$3&gt;=$D22,I$3&lt;$D22+$E22),"X","")</x:f>
      </x:c>
      <x:c r="J22" s="60" t="str">
        <x:f>IF(AND(J$3&gt;=$D22,J$3&lt;$D22+$E22),"X","")</x:f>
      </x:c>
      <x:c r="K22" s="60" t="str">
        <x:f>IF(AND(K$3&gt;=$D22,K$3&lt;$D22+$E22),"X","")</x:f>
      </x:c>
      <x:c r="L22" s="60" t="str">
        <x:f>IF(AND(L$3&gt;=$D22,L$3&lt;$D22+$E22),"X","")</x:f>
      </x:c>
      <x:c r="M22" s="60" t="str">
        <x:f>IF(AND(M$3&gt;=$D22,M$3&lt;$D22+$E22),"X","")</x:f>
      </x:c>
      <x:c r="N22" s="60" t="str">
        <x:f>IF(AND(N$3&gt;=$D22,N$3&lt;$D22+$E22),"X","")</x:f>
      </x:c>
      <x:c r="O22" s="60" t="str">
        <x:f>IF(AND(O$3&gt;=$D22,O$3&lt;$D22+$E22),"X","")</x:f>
      </x:c>
      <x:c r="P22" s="60" t="str">
        <x:f>IF(AND(P$3&gt;=$D22,P$3&lt;$D22+$E22),"X","")</x:f>
      </x:c>
      <x:c r="Q22" s="60" t="str">
        <x:f>IF(AND(Q$3&gt;=$D22,Q$3&lt;$D22+$E22),"X","")</x:f>
        <x:v>X</x:v>
      </x:c>
      <x:c r="R22" s="60" t="str">
        <x:f>IF(AND(R$3&gt;=$D22,R$3&lt;$D22+$E22),"X","")</x:f>
      </x:c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</x:row>
    <x:row r="23" ht="22" customHeight="1">
      <x:c r="A23" s="48" t="str">
        <x:v>C4</x:v>
      </x:c>
      <x:c r="B23" s="50" t="str">
        <x:v>Final testing and repository cleanup</x:v>
      </x:c>
      <x:c r="C23" s="53" t="str">
        <x:v>Not Started</x:v>
      </x:c>
      <x:c r="D23" s="56" t="n">
        <x:v>13</x:v>
      </x:c>
      <x:c r="E23" s="56" t="n">
        <x:v>1</x:v>
      </x:c>
      <x:c r="F23" s="60" t="str">
        <x:f>IF(AND(F$3&gt;=$D23,F$3&lt;$D23+$E23),"X","")</x:f>
      </x:c>
      <x:c r="G23" s="60" t="str">
        <x:f>IF(AND(G$3&gt;=$D23,G$3&lt;$D23+$E23),"X","")</x:f>
      </x:c>
      <x:c r="H23" s="60" t="str">
        <x:f>IF(AND(H$3&gt;=$D23,H$3&lt;$D23+$E23),"X","")</x:f>
      </x:c>
      <x:c r="I23" s="60" t="str">
        <x:f>IF(AND(I$3&gt;=$D23,I$3&lt;$D23+$E23),"X","")</x:f>
      </x:c>
      <x:c r="J23" s="60" t="str">
        <x:f>IF(AND(J$3&gt;=$D23,J$3&lt;$D23+$E23),"X","")</x:f>
      </x:c>
      <x:c r="K23" s="60" t="str">
        <x:f>IF(AND(K$3&gt;=$D23,K$3&lt;$D23+$E23),"X","")</x:f>
      </x:c>
      <x:c r="L23" s="60" t="str">
        <x:f>IF(AND(L$3&gt;=$D23,L$3&lt;$D23+$E23),"X","")</x:f>
      </x:c>
      <x:c r="M23" s="60" t="str">
        <x:f>IF(AND(M$3&gt;=$D23,M$3&lt;$D23+$E23),"X","")</x:f>
      </x:c>
      <x:c r="N23" s="60" t="str">
        <x:f>IF(AND(N$3&gt;=$D23,N$3&lt;$D23+$E23),"X","")</x:f>
      </x:c>
      <x:c r="O23" s="60" t="str">
        <x:f>IF(AND(O$3&gt;=$D23,O$3&lt;$D23+$E23),"X","")</x:f>
      </x:c>
      <x:c r="P23" s="60" t="str">
        <x:f>IF(AND(P$3&gt;=$D23,P$3&lt;$D23+$E23),"X","")</x:f>
      </x:c>
      <x:c r="Q23" s="60" t="str">
        <x:f>IF(AND(Q$3&gt;=$D23,Q$3&lt;$D23+$E23),"X","")</x:f>
      </x:c>
      <x:c r="R23" s="60" t="str">
        <x:f>IF(AND(R$3&gt;=$D23,R$3&lt;$D23+$E23),"X","")</x:f>
        <x:v>X</x:v>
      </x:c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</x:row>
    <x:row r="24" ht="22" customHeight="1">
      <x:c r="A24" s="48" t="str">
        <x:v>C5</x:v>
      </x:c>
      <x:c r="B24" s="50" t="str">
        <x:v>Presentation slides, rehearsal and backup</x:v>
      </x:c>
      <x:c r="C24" s="53" t="str">
        <x:v>Not Started</x:v>
      </x:c>
      <x:c r="D24" s="56" t="n">
        <x:v>13</x:v>
      </x:c>
      <x:c r="E24" s="56" t="n">
        <x:v>1</x:v>
      </x:c>
      <x:c r="F24" s="60" t="str">
        <x:f>IF(AND(F$3&gt;=$D24,F$3&lt;$D24+$E24),"X","")</x:f>
      </x:c>
      <x:c r="G24" s="60" t="str">
        <x:f>IF(AND(G$3&gt;=$D24,G$3&lt;$D24+$E24),"X","")</x:f>
      </x:c>
      <x:c r="H24" s="60" t="str">
        <x:f>IF(AND(H$3&gt;=$D24,H$3&lt;$D24+$E24),"X","")</x:f>
      </x:c>
      <x:c r="I24" s="60" t="str">
        <x:f>IF(AND(I$3&gt;=$D24,I$3&lt;$D24+$E24),"X","")</x:f>
      </x:c>
      <x:c r="J24" s="60" t="str">
        <x:f>IF(AND(J$3&gt;=$D24,J$3&lt;$D24+$E24),"X","")</x:f>
      </x:c>
      <x:c r="K24" s="60" t="str">
        <x:f>IF(AND(K$3&gt;=$D24,K$3&lt;$D24+$E24),"X","")</x:f>
      </x:c>
      <x:c r="L24" s="60" t="str">
        <x:f>IF(AND(L$3&gt;=$D24,L$3&lt;$D24+$E24),"X","")</x:f>
      </x:c>
      <x:c r="M24" s="60" t="str">
        <x:f>IF(AND(M$3&gt;=$D24,M$3&lt;$D24+$E24),"X","")</x:f>
      </x:c>
      <x:c r="N24" s="60" t="str">
        <x:f>IF(AND(N$3&gt;=$D24,N$3&lt;$D24+$E24),"X","")</x:f>
      </x:c>
      <x:c r="O24" s="60" t="str">
        <x:f>IF(AND(O$3&gt;=$D24,O$3&lt;$D24+$E24),"X","")</x:f>
      </x:c>
      <x:c r="P24" s="60" t="str">
        <x:f>IF(AND(P$3&gt;=$D24,P$3&lt;$D24+$E24),"X","")</x:f>
      </x:c>
      <x:c r="Q24" s="60" t="str">
        <x:f>IF(AND(Q$3&gt;=$D24,Q$3&lt;$D24+$E24),"X","")</x:f>
      </x:c>
      <x:c r="R24" s="60" t="str">
        <x:f>IF(AND(R$3&gt;=$D24,R$3&lt;$D24+$E24),"X","")</x:f>
        <x:v>X</x:v>
      </x:c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</x:row>
    <x:row r="25" ht="22" customHeight="1">
      <x:c r="A25" s="78" t="str">
        <x:v>C0</x:v>
      </x:c>
      <x:c r="B25" s="79" t="str">
        <x:v>Final project milestone</x:v>
      </x:c>
      <x:c r="C25" s="80" t="str">
        <x:v>Not Started</x:v>
      </x:c>
      <x:c r="D25" s="81" t="n">
        <x:v>13</x:v>
      </x:c>
      <x:c r="E25" s="81" t="n">
        <x:v>0</x:v>
      </x:c>
      <x:c r="F25" s="82" t="str">
        <x:f>IF(F$3=$D25,"◆","")</x:f>
      </x:c>
      <x:c r="G25" s="82" t="str">
        <x:f>IF(G$3=$D25,"◆","")</x:f>
      </x:c>
      <x:c r="H25" s="82" t="str">
        <x:f>IF(H$3=$D25,"◆","")</x:f>
      </x:c>
      <x:c r="I25" s="82" t="str">
        <x:f>IF(I$3=$D25,"◆","")</x:f>
      </x:c>
      <x:c r="J25" s="82" t="str">
        <x:f>IF(J$3=$D25,"◆","")</x:f>
      </x:c>
      <x:c r="K25" s="82" t="str">
        <x:f>IF(K$3=$D25,"◆","")</x:f>
      </x:c>
      <x:c r="L25" s="82" t="str">
        <x:f>IF(L$3=$D25,"◆","")</x:f>
      </x:c>
      <x:c r="M25" s="82" t="str">
        <x:f>IF(M$3=$D25,"◆","")</x:f>
      </x:c>
      <x:c r="N25" s="82" t="str">
        <x:f>IF(N$3=$D25,"◆","")</x:f>
      </x:c>
      <x:c r="O25" s="82" t="str">
        <x:f>IF(O$3=$D25,"◆","")</x:f>
      </x:c>
      <x:c r="P25" s="82" t="str">
        <x:f>IF(P$3=$D25,"◆","")</x:f>
      </x:c>
      <x:c r="Q25" s="82" t="str">
        <x:f>IF(Q$3=$D25,"◆","")</x:f>
      </x:c>
      <x:c r="R25" s="82" t="str">
        <x:f>IF(R$3=$D25,"◆","")</x:f>
        <x:v>◆</x:v>
      </x:c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</x:row>
  </x:sheetData>
  <x:mergeCells>
    <x:mergeCell ref="A2:E2"/>
    <x:mergeCell ref="A1:R1"/>
    <x:mergeCell ref="F2:R2"/>
  </x:mergeCells>
  <x:conditionalFormatting sqref="C5:C9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Not Started"/>
  </x:conditionalFormatting>
  <x:conditionalFormatting sqref="C11:C18">
    <x:cfRule type="containsText" dxfId="3" priority="4" operator="containsText" text="Completed"/>
    <x:cfRule type="containsText" dxfId="4" priority="5" operator="containsText" text="In Progress"/>
    <x:cfRule type="containsText" dxfId="5" priority="6" operator="containsText" text="Not Started"/>
  </x:conditionalFormatting>
  <x:conditionalFormatting sqref="C20:C25">
    <x:cfRule type="containsText" dxfId="6" priority="7" operator="containsText" text="Completed"/>
    <x:cfRule type="containsText" dxfId="7" priority="8" operator="containsText" text="In Progress"/>
    <x:cfRule type="containsText" dxfId="8" priority="9" operator="containsText" text="Not Started"/>
  </x:conditionalFormatting>
  <x:conditionalFormatting sqref="F5:R8">
    <x:cfRule type="containsText" dxfId="9" priority="10" operator="containsText" text="X"/>
  </x:conditionalFormatting>
  <x:conditionalFormatting sqref="F11:R17">
    <x:cfRule type="containsText" dxfId="10" priority="11" operator="containsText" text="X"/>
  </x:conditionalFormatting>
  <x:conditionalFormatting sqref="F20:R24">
    <x:cfRule type="containsText" dxfId="11" priority="12" operator="containsText" text="X"/>
  </x:conditionalFormatting>
  <x:dataValidations count="3">
    <x:dataValidation type="list" sqref="C5:C9">
      <x:formula1>"Not Started,In Progress,Completed"</x:formula1>
    </x:dataValidation>
    <x:dataValidation type="list" sqref="C11:C18">
      <x:formula1>"Not Started,In Progress,Completed"</x:formula1>
    </x:dataValidation>
    <x:dataValidation type="list" sqref="C20:C25">
      <x:formula1>"Not Started,In Progress,Completed"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7" hidden="0" customWidth="1"/>
    <x:col min="2" max="2" width="48" hidden="0" customWidth="1"/>
    <x:col min="3" max="3" width="35" customWidth="1"/>
  </x:cols>
  <x:sheetData>
    <x:row r="1" ht="28" customHeight="1">
      <x:c r="A1" s="86" t="str">
        <x:v>LEGEND</x:v>
      </x:c>
      <x:c r="B1" s="86"/>
      <x:c r="C1" s="1"/>
    </x:row>
    <x:row r="3" ht="24" customHeight="1">
      <x:c r="A3" s="107" t="str"/>
      <x:c r="B3" s="46" t="str">
        <x:v>Completed proposal activities</x:v>
      </x:c>
    </x:row>
    <x:row r="4" ht="24" customHeight="1">
      <x:c r="A4" s="108" t="str"/>
      <x:c r="B4" s="46" t="str">
        <x:v>Planned system design and development</x:v>
      </x:c>
    </x:row>
    <x:row r="5" ht="24" customHeight="1">
      <x:c r="A5" s="109" t="str"/>
      <x:c r="B5" s="46" t="str">
        <x:v>Planned testing, documentation and finalisation</x:v>
      </x:c>
    </x:row>
    <x:row r="6" ht="24" customHeight="1">
      <x:c r="A6" s="112" t="str">
        <x:v>◆</x:v>
      </x:c>
      <x:c r="B6" s="46" t="str">
        <x:v>Milestone - end of phase</x:v>
      </x:c>
    </x:row>
    <x:row r="7" ht="24" customHeight="1">
      <x:c r="A7" s="110" t="str"/>
      <x:c r="B7" s="46" t="str">
        <x:v>Phase header row</x:v>
      </x:c>
    </x:row>
    <x:row r="8" ht="24" customHeight="1">
      <x:c r="A8" s="111" t="str"/>
      <x:c r="B8" s="46" t="str">
        <x:v>Not Started status</x:v>
      </x:c>
    </x:row>
  </x:sheetData>
  <x:mergeCells>
    <x:mergeCell ref="A1:B1"/>
  </x:mergeCells>
  <x:pageMargins left="0.7" right="0.7" top="0.75" bottom="0.75" header="0.3" footer="0.3"/>
</x:worksheet>
</file>